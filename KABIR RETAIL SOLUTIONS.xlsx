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 easynett\Desktop\PROJECTS\Kabir Sales Analysis\"/>
    </mc:Choice>
  </mc:AlternateContent>
  <xr:revisionPtr revIDLastSave="0" documentId="13_ncr:1_{00C8E888-7C8E-40DD-A382-2C75BFB2FC02}" xr6:coauthVersionLast="47" xr6:coauthVersionMax="47" xr10:uidLastSave="{00000000-0000-0000-0000-000000000000}"/>
  <bookViews>
    <workbookView xWindow="-120" yWindow="-120" windowWidth="20730" windowHeight="11160" xr2:uid="{43E03B95-7396-4908-966B-13EC1994E3C3}"/>
  </bookViews>
  <sheets>
    <sheet name="Yearly Sales Report" sheetId="1" r:id="rId1"/>
  </sheets>
  <definedNames>
    <definedName name="_xlnm._FilterDatabase" localSheetId="0" hidden="1">'Yearly Sales Report'!$A$4:$F$28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0" i="1" l="1"/>
  <c r="M42" i="1"/>
  <c r="M43" i="1"/>
  <c r="M44" i="1"/>
  <c r="M45" i="1"/>
  <c r="M41" i="1"/>
  <c r="N42" i="1"/>
  <c r="N43" i="1"/>
  <c r="N44" i="1"/>
  <c r="N45" i="1"/>
  <c r="N41" i="1"/>
  <c r="M35" i="1"/>
  <c r="M36" i="1"/>
  <c r="M37" i="1"/>
  <c r="M38" i="1"/>
  <c r="M34" i="1"/>
  <c r="M9" i="1" l="1"/>
  <c r="M8" i="1"/>
  <c r="S8" i="1" s="1"/>
  <c r="M7" i="1"/>
  <c r="S9" i="1" s="1"/>
  <c r="M6" i="1"/>
  <c r="L9" i="1"/>
  <c r="L8" i="1"/>
  <c r="L7" i="1"/>
  <c r="L6" i="1"/>
  <c r="S4" i="1" s="1"/>
  <c r="C28" i="1" l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L29" i="1" l="1"/>
  <c r="N29" i="1"/>
  <c r="M29" i="1"/>
  <c r="N19" i="1"/>
  <c r="M19" i="1"/>
  <c r="L19" i="1"/>
  <c r="N28" i="1"/>
  <c r="M28" i="1"/>
  <c r="N18" i="1"/>
  <c r="M18" i="1"/>
  <c r="L18" i="1"/>
  <c r="L28" i="1"/>
  <c r="L26" i="1"/>
  <c r="L16" i="1"/>
  <c r="N26" i="1"/>
  <c r="M26" i="1"/>
  <c r="N16" i="1"/>
  <c r="M16" i="1"/>
  <c r="N25" i="1"/>
  <c r="N15" i="1"/>
  <c r="L25" i="1"/>
  <c r="L15" i="1"/>
  <c r="M25" i="1"/>
  <c r="M15" i="1"/>
  <c r="N27" i="1"/>
  <c r="M27" i="1"/>
  <c r="N17" i="1"/>
  <c r="M17" i="1"/>
  <c r="L27" i="1"/>
  <c r="L17" i="1"/>
  <c r="L20" i="1" l="1"/>
  <c r="L30" i="1"/>
  <c r="M20" i="1"/>
  <c r="S6" i="1" s="1"/>
  <c r="N20" i="1"/>
  <c r="S7" i="1" s="1"/>
  <c r="M30" i="1"/>
  <c r="N30" i="1"/>
  <c r="L31" i="1" l="1"/>
  <c r="S5" i="1"/>
  <c r="L21" i="1"/>
</calcChain>
</file>

<file path=xl/sharedStrings.xml><?xml version="1.0" encoding="utf-8"?>
<sst xmlns="http://schemas.openxmlformats.org/spreadsheetml/2006/main" count="85" uniqueCount="38">
  <si>
    <t>KABIR RETAIL SOLUTIONS</t>
  </si>
  <si>
    <t>Yearly Sales Report</t>
  </si>
  <si>
    <t>SN</t>
  </si>
  <si>
    <t>DATE</t>
  </si>
  <si>
    <t>YEAR</t>
  </si>
  <si>
    <t>SALES REP</t>
  </si>
  <si>
    <t>QTY SOLD</t>
  </si>
  <si>
    <t>Regional Sales Performance Audit Report</t>
  </si>
  <si>
    <t>Ayo</t>
  </si>
  <si>
    <t>Tola</t>
  </si>
  <si>
    <t>Abdul</t>
  </si>
  <si>
    <t>Ada</t>
  </si>
  <si>
    <t>Ese</t>
  </si>
  <si>
    <t>AMOUNT</t>
  </si>
  <si>
    <t>Sum of Sales by Years</t>
  </si>
  <si>
    <t>Sales Rep</t>
  </si>
  <si>
    <t>Condition</t>
  </si>
  <si>
    <t>Quantity</t>
  </si>
  <si>
    <t>COUNTIF</t>
  </si>
  <si>
    <t>FUNCTIONS</t>
  </si>
  <si>
    <t>Amount</t>
  </si>
  <si>
    <t>SUM</t>
  </si>
  <si>
    <t>MINIMUM</t>
  </si>
  <si>
    <t>MAXIMUM</t>
  </si>
  <si>
    <t>AVERAGE</t>
  </si>
  <si>
    <t>COUNT</t>
  </si>
  <si>
    <t>COUNTA</t>
  </si>
  <si>
    <t>SUMIF</t>
  </si>
  <si>
    <t>Quantity Sold by Years</t>
  </si>
  <si>
    <t>Total qty sold across all years</t>
  </si>
  <si>
    <t>Total qty sold in 2010</t>
  </si>
  <si>
    <t>Total qty sold in 2011</t>
  </si>
  <si>
    <t>Total qty sold in 2012</t>
  </si>
  <si>
    <t>SUBTOTAL</t>
  </si>
  <si>
    <t>GTOTAL</t>
  </si>
  <si>
    <t>Highest transaction amount</t>
  </si>
  <si>
    <t>Lowest transaction amount</t>
  </si>
  <si>
    <t>Average qty sold across all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</si>
</sst>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₦-46A]* #,##0_-;\-[$₦-46A]* #,##0_-;_-[$₦-46A]* &quot;-&quot;??_-;_-@_-"/>
    <numFmt numFmtId="165" formatCode="_(* #,##0_);_(* \(#,##0\);_(* &quot;-&quot;??_);_(@_)"/>
    <numFmt numFmtId="166" formatCode="_-[$₦-466]\ * #,##0_-;\-[$₦-466]\ * #,##0_-;_-[$₦-466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0"/>
      <name val="Aharoni"/>
      <charset val="177"/>
    </font>
    <font>
      <b/>
      <sz val="18"/>
      <color theme="0"/>
      <name val="Times New Roman"/>
      <family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6" fillId="0" borderId="1" xfId="1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/>
    <xf numFmtId="0" fontId="0" fillId="0" borderId="2" xfId="0" applyBorder="1"/>
    <xf numFmtId="0" fontId="3" fillId="5" borderId="2" xfId="0" applyFont="1" applyFill="1" applyBorder="1"/>
    <xf numFmtId="0" fontId="3" fillId="0" borderId="2" xfId="0" applyFont="1" applyBorder="1"/>
    <xf numFmtId="0" fontId="3" fillId="5" borderId="2" xfId="0" applyFont="1" applyFill="1" applyBorder="1" applyAlignment="1">
      <alignment horizontal="center"/>
    </xf>
    <xf numFmtId="0" fontId="2" fillId="2" borderId="2" xfId="0" applyFont="1" applyFill="1" applyBorder="1"/>
    <xf numFmtId="0" fontId="4" fillId="0" borderId="0" xfId="0" applyFont="1"/>
    <xf numFmtId="0" fontId="5" fillId="0" borderId="0" xfId="0" applyFont="1"/>
    <xf numFmtId="43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165" fontId="1" fillId="0" borderId="2" xfId="1" applyNumberFormat="1" applyFont="1" applyBorder="1"/>
    <xf numFmtId="166" fontId="0" fillId="0" borderId="2" xfId="0" applyNumberFormat="1" applyBorder="1"/>
    <xf numFmtId="166" fontId="0" fillId="0" borderId="0" xfId="0" applyNumberFormat="1"/>
    <xf numFmtId="166" fontId="3" fillId="0" borderId="0" xfId="2" applyNumberFormat="1" applyFont="1"/>
    <xf numFmtId="165" fontId="1" fillId="0" borderId="2" xfId="1" applyNumberFormat="1" applyFont="1" applyFill="1" applyBorder="1" applyAlignment="1"/>
    <xf numFmtId="165" fontId="3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165" fontId="3" fillId="0" borderId="4" xfId="0" applyNumberFormat="1" applyFont="1" applyBorder="1" applyAlignment="1">
      <alignment horizontal="center"/>
    </xf>
    <xf numFmtId="165" fontId="3" fillId="0" borderId="5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558AE-8899-463F-8364-D49F1D023676}">
  <sheetPr>
    <tabColor rgb="FF7030A0"/>
  </sheetPr>
  <dimension ref="A1:W46"/>
  <sheetViews>
    <sheetView tabSelected="1" topLeftCell="C4" workbookViewId="0">
      <selection activeCell="Q18" sqref="Q18"/>
    </sheetView>
  </sheetViews>
  <sheetFormatPr defaultRowHeight="15" x14ac:dyDescent="0.25"/>
  <cols>
    <col min="4" max="4" width="9.85546875" bestFit="1" customWidth="1"/>
    <col min="5" max="5" width="9.42578125" bestFit="1" customWidth="1"/>
    <col min="6" max="6" width="12" bestFit="1" customWidth="1"/>
    <col min="11" max="11" width="11.42578125" customWidth="1"/>
    <col min="12" max="12" width="12.42578125" customWidth="1"/>
    <col min="13" max="13" width="12.28515625" customWidth="1"/>
    <col min="14" max="14" width="9.85546875" bestFit="1" customWidth="1"/>
    <col min="15" max="15" width="10.5703125" bestFit="1" customWidth="1"/>
    <col min="17" max="17" width="9.7109375" bestFit="1" customWidth="1"/>
    <col min="19" max="19" width="12.42578125" bestFit="1" customWidth="1"/>
  </cols>
  <sheetData>
    <row r="1" spans="1:23" ht="15" customHeight="1" x14ac:dyDescent="0.5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32" t="s">
        <v>0</v>
      </c>
      <c r="L1" s="32"/>
      <c r="M1" s="32"/>
      <c r="N1" s="32"/>
      <c r="O1" s="32"/>
      <c r="P1" s="32"/>
      <c r="Q1" s="32"/>
      <c r="R1" s="32"/>
      <c r="S1" s="32"/>
      <c r="T1" s="11"/>
      <c r="U1" s="11"/>
      <c r="V1" s="11"/>
      <c r="W1" s="11"/>
    </row>
    <row r="2" spans="1:23" ht="15" customHeight="1" x14ac:dyDescent="0.5">
      <c r="A2" s="28"/>
      <c r="B2" s="28"/>
      <c r="C2" s="28"/>
      <c r="D2" s="28"/>
      <c r="E2" s="28"/>
      <c r="F2" s="28"/>
      <c r="G2" s="28"/>
      <c r="H2" s="28"/>
      <c r="I2" s="28"/>
      <c r="J2" s="28"/>
      <c r="K2" s="32"/>
      <c r="L2" s="32"/>
      <c r="M2" s="32"/>
      <c r="N2" s="32"/>
      <c r="O2" s="32"/>
      <c r="P2" s="32"/>
      <c r="Q2" s="32"/>
      <c r="R2" s="32"/>
      <c r="S2" s="32"/>
      <c r="T2" s="11"/>
      <c r="U2" s="11"/>
      <c r="V2" s="11"/>
      <c r="W2" s="11"/>
    </row>
    <row r="3" spans="1:23" ht="22.5" x14ac:dyDescent="0.3">
      <c r="A3" s="29" t="s">
        <v>1</v>
      </c>
      <c r="B3" s="29"/>
      <c r="C3" s="29"/>
      <c r="D3" s="29"/>
      <c r="E3" s="29"/>
      <c r="F3" s="29"/>
      <c r="G3" s="29"/>
      <c r="H3" s="29"/>
      <c r="I3" s="29"/>
      <c r="J3" s="29"/>
      <c r="K3" s="29" t="s">
        <v>7</v>
      </c>
      <c r="L3" s="29"/>
      <c r="M3" s="29"/>
      <c r="N3" s="29"/>
      <c r="O3" s="29"/>
      <c r="P3" s="29"/>
      <c r="Q3" s="29"/>
      <c r="R3" s="29"/>
      <c r="S3" s="29"/>
      <c r="T3" s="12"/>
      <c r="U3" s="12"/>
      <c r="V3" s="12"/>
      <c r="W3" s="12"/>
    </row>
    <row r="4" spans="1:23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13</v>
      </c>
      <c r="K4" s="30" t="s">
        <v>19</v>
      </c>
      <c r="L4" s="30"/>
      <c r="M4" s="30"/>
      <c r="O4" t="s">
        <v>29</v>
      </c>
      <c r="S4" s="15">
        <f>L6</f>
        <v>1224</v>
      </c>
    </row>
    <row r="5" spans="1:23" x14ac:dyDescent="0.25">
      <c r="A5" s="1">
        <v>1</v>
      </c>
      <c r="B5" s="3">
        <v>40221</v>
      </c>
      <c r="C5" s="3" t="str">
        <f t="shared" ref="C5:C28" si="0">TEXT(B5,"YYYY")</f>
        <v>2010</v>
      </c>
      <c r="D5" s="4" t="s">
        <v>8</v>
      </c>
      <c r="E5" s="4">
        <v>76</v>
      </c>
      <c r="F5" s="5">
        <v>16720</v>
      </c>
      <c r="K5" s="7"/>
      <c r="L5" s="9" t="s">
        <v>17</v>
      </c>
      <c r="M5" s="9" t="s">
        <v>20</v>
      </c>
      <c r="O5" t="s">
        <v>30</v>
      </c>
      <c r="S5" s="15">
        <f>L20</f>
        <v>476</v>
      </c>
    </row>
    <row r="6" spans="1:23" x14ac:dyDescent="0.25">
      <c r="A6" s="1">
        <v>2</v>
      </c>
      <c r="B6" s="3">
        <v>40235</v>
      </c>
      <c r="C6" s="3" t="str">
        <f t="shared" si="0"/>
        <v>2010</v>
      </c>
      <c r="D6" s="4" t="s">
        <v>9</v>
      </c>
      <c r="E6" s="4">
        <v>59</v>
      </c>
      <c r="F6" s="5">
        <v>12980</v>
      </c>
      <c r="K6" s="8" t="s">
        <v>21</v>
      </c>
      <c r="L6" s="16">
        <f>SUM(E5:E28)</f>
        <v>1224</v>
      </c>
      <c r="M6" s="17">
        <f>SUM(F5:F28)</f>
        <v>269280</v>
      </c>
      <c r="O6" t="s">
        <v>31</v>
      </c>
      <c r="S6" s="15">
        <f>M20</f>
        <v>380</v>
      </c>
    </row>
    <row r="7" spans="1:23" x14ac:dyDescent="0.25">
      <c r="A7" s="1">
        <v>3</v>
      </c>
      <c r="B7" s="3">
        <v>40249</v>
      </c>
      <c r="C7" s="3" t="str">
        <f t="shared" si="0"/>
        <v>2010</v>
      </c>
      <c r="D7" s="4" t="s">
        <v>10</v>
      </c>
      <c r="E7" s="4">
        <v>56</v>
      </c>
      <c r="F7" s="5">
        <v>12320</v>
      </c>
      <c r="K7" s="8" t="s">
        <v>22</v>
      </c>
      <c r="L7" s="16">
        <f>MIN(E5:E28)</f>
        <v>24</v>
      </c>
      <c r="M7" s="17">
        <f>MIN(F5:F28)</f>
        <v>5280</v>
      </c>
      <c r="O7" t="s">
        <v>32</v>
      </c>
      <c r="S7" s="15">
        <f>N20</f>
        <v>368</v>
      </c>
    </row>
    <row r="8" spans="1:23" x14ac:dyDescent="0.25">
      <c r="A8" s="1">
        <v>4</v>
      </c>
      <c r="B8" s="3">
        <v>40249</v>
      </c>
      <c r="C8" s="3" t="str">
        <f t="shared" si="0"/>
        <v>2010</v>
      </c>
      <c r="D8" s="4" t="s">
        <v>11</v>
      </c>
      <c r="E8" s="4">
        <v>48</v>
      </c>
      <c r="F8" s="5">
        <v>10560</v>
      </c>
      <c r="K8" s="8" t="s">
        <v>23</v>
      </c>
      <c r="L8" s="16">
        <f>MAX(E5:E28)</f>
        <v>95</v>
      </c>
      <c r="M8" s="17">
        <f>MAX(F5:F28)</f>
        <v>20900</v>
      </c>
      <c r="O8" t="s">
        <v>35</v>
      </c>
      <c r="S8" s="19">
        <f>M8</f>
        <v>20900</v>
      </c>
    </row>
    <row r="9" spans="1:23" x14ac:dyDescent="0.25">
      <c r="A9" s="1">
        <v>5</v>
      </c>
      <c r="B9" s="3">
        <v>40418</v>
      </c>
      <c r="C9" s="3" t="str">
        <f t="shared" si="0"/>
        <v>2010</v>
      </c>
      <c r="D9" s="4" t="s">
        <v>9</v>
      </c>
      <c r="E9" s="4">
        <v>40</v>
      </c>
      <c r="F9" s="5">
        <v>8800</v>
      </c>
      <c r="K9" s="8" t="s">
        <v>24</v>
      </c>
      <c r="L9" s="16">
        <f>AVERAGE(E5:E28)</f>
        <v>51</v>
      </c>
      <c r="M9" s="17">
        <f>AVERAGE(F5:F28)</f>
        <v>11220</v>
      </c>
      <c r="O9" t="s">
        <v>36</v>
      </c>
      <c r="S9" s="19">
        <f>M7</f>
        <v>5280</v>
      </c>
    </row>
    <row r="10" spans="1:23" x14ac:dyDescent="0.25">
      <c r="A10" s="1">
        <v>6</v>
      </c>
      <c r="B10" s="3">
        <v>40418</v>
      </c>
      <c r="C10" s="3" t="str">
        <f t="shared" si="0"/>
        <v>2010</v>
      </c>
      <c r="D10" s="4" t="s">
        <v>12</v>
      </c>
      <c r="E10" s="4">
        <v>90</v>
      </c>
      <c r="F10" s="5">
        <v>19800</v>
      </c>
      <c r="K10" s="8" t="s">
        <v>25</v>
      </c>
      <c r="L10" s="6"/>
      <c r="M10" s="6"/>
      <c r="O10" t="s">
        <v>37</v>
      </c>
      <c r="S10" s="15">
        <f>L9</f>
        <v>51</v>
      </c>
    </row>
    <row r="11" spans="1:23" x14ac:dyDescent="0.25">
      <c r="A11" s="1">
        <v>7</v>
      </c>
      <c r="B11" s="3">
        <v>40464</v>
      </c>
      <c r="C11" s="3" t="str">
        <f t="shared" si="0"/>
        <v>2010</v>
      </c>
      <c r="D11" s="4" t="s">
        <v>11</v>
      </c>
      <c r="E11" s="4">
        <v>24</v>
      </c>
      <c r="F11" s="5">
        <v>5280</v>
      </c>
      <c r="K11" s="8" t="s">
        <v>26</v>
      </c>
      <c r="L11" s="6"/>
      <c r="M11" s="6"/>
    </row>
    <row r="12" spans="1:23" x14ac:dyDescent="0.25">
      <c r="A12" s="1">
        <v>8</v>
      </c>
      <c r="B12" s="3">
        <v>40505</v>
      </c>
      <c r="C12" s="3" t="str">
        <f t="shared" si="0"/>
        <v>2010</v>
      </c>
      <c r="D12" s="4" t="s">
        <v>11</v>
      </c>
      <c r="E12" s="4">
        <v>50</v>
      </c>
      <c r="F12" s="5">
        <v>11000</v>
      </c>
    </row>
    <row r="13" spans="1:23" x14ac:dyDescent="0.25">
      <c r="A13" s="1">
        <v>9</v>
      </c>
      <c r="B13" s="3">
        <v>40505</v>
      </c>
      <c r="C13" s="3" t="str">
        <f t="shared" si="0"/>
        <v>2010</v>
      </c>
      <c r="D13" s="4" t="s">
        <v>9</v>
      </c>
      <c r="E13" s="4">
        <v>33</v>
      </c>
      <c r="F13" s="5">
        <v>7260</v>
      </c>
      <c r="K13" s="6"/>
      <c r="L13" s="31" t="s">
        <v>28</v>
      </c>
      <c r="M13" s="31"/>
      <c r="N13" s="31"/>
    </row>
    <row r="14" spans="1:23" x14ac:dyDescent="0.25">
      <c r="A14" s="1">
        <v>10</v>
      </c>
      <c r="B14" s="3">
        <v>40611</v>
      </c>
      <c r="C14" s="3" t="str">
        <f t="shared" si="0"/>
        <v>2011</v>
      </c>
      <c r="D14" s="4" t="s">
        <v>12</v>
      </c>
      <c r="E14" s="4">
        <v>95</v>
      </c>
      <c r="F14" s="5">
        <v>20900</v>
      </c>
      <c r="K14" s="7" t="s">
        <v>15</v>
      </c>
      <c r="L14" s="8">
        <v>2010</v>
      </c>
      <c r="M14" s="8">
        <v>2011</v>
      </c>
      <c r="N14" s="8">
        <v>2012</v>
      </c>
    </row>
    <row r="15" spans="1:23" x14ac:dyDescent="0.25">
      <c r="A15" s="1">
        <v>11</v>
      </c>
      <c r="B15" s="3">
        <v>40626</v>
      </c>
      <c r="C15" s="3" t="str">
        <f t="shared" si="0"/>
        <v>2011</v>
      </c>
      <c r="D15" s="4" t="s">
        <v>10</v>
      </c>
      <c r="E15" s="4">
        <v>57</v>
      </c>
      <c r="F15" s="5">
        <v>12540</v>
      </c>
      <c r="K15" s="6" t="s">
        <v>10</v>
      </c>
      <c r="L15" s="20">
        <f>SUMIFS($E$5:$E$28,$D$5:$D$28,$K15,$C$5:$C$28,L$14)</f>
        <v>56</v>
      </c>
      <c r="M15" s="20">
        <f t="shared" ref="M15:N19" si="1">SUMIFS($E$5:$E$28,$D$5:$D$28,$K15,$C$5:$C$28,M$14)</f>
        <v>105</v>
      </c>
      <c r="N15" s="20">
        <f t="shared" si="1"/>
        <v>116</v>
      </c>
    </row>
    <row r="16" spans="1:23" x14ac:dyDescent="0.25">
      <c r="A16" s="1">
        <v>12</v>
      </c>
      <c r="B16" s="3">
        <v>40693</v>
      </c>
      <c r="C16" s="3" t="str">
        <f t="shared" si="0"/>
        <v>2011</v>
      </c>
      <c r="D16" s="4" t="s">
        <v>10</v>
      </c>
      <c r="E16" s="4">
        <v>48</v>
      </c>
      <c r="F16" s="5">
        <v>10560</v>
      </c>
      <c r="K16" s="6" t="s">
        <v>8</v>
      </c>
      <c r="L16" s="20">
        <f t="shared" ref="L16:L19" si="2">SUMIFS($E$5:$E$28,$D$5:$D$28,$K16,$C$5:$C$28,L$14)</f>
        <v>76</v>
      </c>
      <c r="M16" s="20">
        <f t="shared" si="1"/>
        <v>28</v>
      </c>
      <c r="N16" s="20">
        <f t="shared" si="1"/>
        <v>36</v>
      </c>
    </row>
    <row r="17" spans="1:15" x14ac:dyDescent="0.25">
      <c r="A17" s="1">
        <v>13</v>
      </c>
      <c r="B17" s="3">
        <v>40711</v>
      </c>
      <c r="C17" s="3" t="str">
        <f t="shared" si="0"/>
        <v>2011</v>
      </c>
      <c r="D17" s="4" t="s">
        <v>9</v>
      </c>
      <c r="E17" s="4">
        <v>88</v>
      </c>
      <c r="F17" s="5">
        <v>19360</v>
      </c>
      <c r="K17" s="6" t="s">
        <v>11</v>
      </c>
      <c r="L17" s="20">
        <f t="shared" si="2"/>
        <v>122</v>
      </c>
      <c r="M17" s="20">
        <f t="shared" si="1"/>
        <v>0</v>
      </c>
      <c r="N17" s="20">
        <f t="shared" si="1"/>
        <v>72</v>
      </c>
      <c r="O17" s="13"/>
    </row>
    <row r="18" spans="1:15" x14ac:dyDescent="0.25">
      <c r="A18" s="1">
        <v>14</v>
      </c>
      <c r="B18" s="3">
        <v>40711</v>
      </c>
      <c r="C18" s="3" t="str">
        <f t="shared" si="0"/>
        <v>2011</v>
      </c>
      <c r="D18" s="4" t="s">
        <v>8</v>
      </c>
      <c r="E18" s="4">
        <v>28</v>
      </c>
      <c r="F18" s="5">
        <v>6160</v>
      </c>
      <c r="K18" s="6" t="s">
        <v>12</v>
      </c>
      <c r="L18" s="20">
        <f t="shared" si="2"/>
        <v>90</v>
      </c>
      <c r="M18" s="20">
        <f t="shared" si="1"/>
        <v>95</v>
      </c>
      <c r="N18" s="20">
        <f t="shared" si="1"/>
        <v>52</v>
      </c>
    </row>
    <row r="19" spans="1:15" x14ac:dyDescent="0.25">
      <c r="A19" s="1">
        <v>15</v>
      </c>
      <c r="B19" s="3">
        <v>40734</v>
      </c>
      <c r="C19" s="3" t="str">
        <f t="shared" si="0"/>
        <v>2011</v>
      </c>
      <c r="D19" s="4" t="s">
        <v>9</v>
      </c>
      <c r="E19" s="4">
        <v>64</v>
      </c>
      <c r="F19" s="5">
        <v>14080</v>
      </c>
      <c r="K19" s="6" t="s">
        <v>9</v>
      </c>
      <c r="L19" s="20">
        <f t="shared" si="2"/>
        <v>132</v>
      </c>
      <c r="M19" s="20">
        <f t="shared" si="1"/>
        <v>152</v>
      </c>
      <c r="N19" s="20">
        <f t="shared" si="1"/>
        <v>92</v>
      </c>
    </row>
    <row r="20" spans="1:15" x14ac:dyDescent="0.25">
      <c r="A20" s="1">
        <v>16</v>
      </c>
      <c r="B20" s="3">
        <v>40953</v>
      </c>
      <c r="C20" s="3" t="str">
        <f t="shared" si="0"/>
        <v>2012</v>
      </c>
      <c r="D20" s="4" t="s">
        <v>10</v>
      </c>
      <c r="E20" s="4">
        <v>51</v>
      </c>
      <c r="F20" s="5">
        <v>11220</v>
      </c>
      <c r="K20" s="8" t="s">
        <v>33</v>
      </c>
      <c r="L20" s="21">
        <f>SUM(L15:L19)</f>
        <v>476</v>
      </c>
      <c r="M20" s="21">
        <f>SUM(M15:M19)</f>
        <v>380</v>
      </c>
      <c r="N20" s="21">
        <f>SUM(N15:N19)</f>
        <v>368</v>
      </c>
    </row>
    <row r="21" spans="1:15" x14ac:dyDescent="0.25">
      <c r="A21" s="1">
        <v>17</v>
      </c>
      <c r="B21" s="3">
        <v>40953</v>
      </c>
      <c r="C21" s="3" t="str">
        <f t="shared" si="0"/>
        <v>2012</v>
      </c>
      <c r="D21" s="4" t="s">
        <v>11</v>
      </c>
      <c r="E21" s="4">
        <v>25</v>
      </c>
      <c r="F21" s="5">
        <v>5500</v>
      </c>
      <c r="K21" s="8" t="s">
        <v>34</v>
      </c>
      <c r="L21" s="24">
        <f>SUM(L20:N20)</f>
        <v>1224</v>
      </c>
      <c r="M21" s="24"/>
      <c r="N21" s="24"/>
    </row>
    <row r="22" spans="1:15" x14ac:dyDescent="0.25">
      <c r="A22" s="1">
        <v>18</v>
      </c>
      <c r="B22" s="3">
        <v>41014</v>
      </c>
      <c r="C22" s="3" t="str">
        <f t="shared" si="0"/>
        <v>2012</v>
      </c>
      <c r="D22" s="4" t="s">
        <v>9</v>
      </c>
      <c r="E22" s="4">
        <v>32</v>
      </c>
      <c r="F22" s="5">
        <v>7040</v>
      </c>
    </row>
    <row r="23" spans="1:15" x14ac:dyDescent="0.25">
      <c r="A23" s="1">
        <v>19</v>
      </c>
      <c r="B23" s="3">
        <v>41014</v>
      </c>
      <c r="C23" s="3" t="str">
        <f t="shared" si="0"/>
        <v>2012</v>
      </c>
      <c r="D23" s="4" t="s">
        <v>10</v>
      </c>
      <c r="E23" s="4">
        <v>24</v>
      </c>
      <c r="F23" s="5">
        <v>5280</v>
      </c>
      <c r="K23" s="6"/>
      <c r="L23" s="31" t="s">
        <v>14</v>
      </c>
      <c r="M23" s="31"/>
      <c r="N23" s="31"/>
    </row>
    <row r="24" spans="1:15" x14ac:dyDescent="0.25">
      <c r="A24" s="1">
        <v>20</v>
      </c>
      <c r="B24" s="3">
        <v>41068</v>
      </c>
      <c r="C24" s="3" t="str">
        <f t="shared" si="0"/>
        <v>2012</v>
      </c>
      <c r="D24" s="4" t="s">
        <v>11</v>
      </c>
      <c r="E24" s="4">
        <v>47</v>
      </c>
      <c r="F24" s="5">
        <v>10340</v>
      </c>
      <c r="K24" s="7" t="s">
        <v>15</v>
      </c>
      <c r="L24" s="6">
        <v>2010</v>
      </c>
      <c r="M24" s="6">
        <v>2011</v>
      </c>
      <c r="N24" s="6">
        <v>2012</v>
      </c>
    </row>
    <row r="25" spans="1:15" x14ac:dyDescent="0.25">
      <c r="A25" s="1">
        <v>21</v>
      </c>
      <c r="B25" s="3">
        <v>41068</v>
      </c>
      <c r="C25" s="3" t="str">
        <f t="shared" si="0"/>
        <v>2012</v>
      </c>
      <c r="D25" s="4" t="s">
        <v>10</v>
      </c>
      <c r="E25" s="4">
        <v>41</v>
      </c>
      <c r="F25" s="5">
        <v>9020</v>
      </c>
      <c r="K25" s="6" t="s">
        <v>10</v>
      </c>
      <c r="L25" s="20">
        <f>SUMIFS($F$5:$F$28,$D$5:$D$28,$K25,$C$5:$C$28,L$24)</f>
        <v>12320</v>
      </c>
      <c r="M25" s="20">
        <f t="shared" ref="M25:N29" si="3">SUMIFS($F$5:$F$28,$D$5:$D$28,$K25,$C$5:$C$28,M$24)</f>
        <v>23100</v>
      </c>
      <c r="N25" s="20">
        <f t="shared" si="3"/>
        <v>25520</v>
      </c>
      <c r="O25" s="14"/>
    </row>
    <row r="26" spans="1:15" x14ac:dyDescent="0.25">
      <c r="A26" s="1">
        <v>22</v>
      </c>
      <c r="B26" s="3">
        <v>41125</v>
      </c>
      <c r="C26" s="3" t="str">
        <f t="shared" si="0"/>
        <v>2012</v>
      </c>
      <c r="D26" s="4" t="s">
        <v>12</v>
      </c>
      <c r="E26" s="4">
        <v>52</v>
      </c>
      <c r="F26" s="5">
        <v>11440</v>
      </c>
      <c r="K26" s="6" t="s">
        <v>8</v>
      </c>
      <c r="L26" s="20">
        <f t="shared" ref="L26:L29" si="4">SUMIFS($F$5:$F$28,$D$5:$D$28,$K26,$C$5:$C$28,L$24)</f>
        <v>16720</v>
      </c>
      <c r="M26" s="20">
        <f t="shared" si="3"/>
        <v>6160</v>
      </c>
      <c r="N26" s="20">
        <f t="shared" si="3"/>
        <v>7920</v>
      </c>
    </row>
    <row r="27" spans="1:15" x14ac:dyDescent="0.25">
      <c r="A27" s="1">
        <v>23</v>
      </c>
      <c r="B27" s="3">
        <v>41183</v>
      </c>
      <c r="C27" s="3" t="str">
        <f t="shared" si="0"/>
        <v>2012</v>
      </c>
      <c r="D27" s="4" t="s">
        <v>8</v>
      </c>
      <c r="E27" s="4">
        <v>36</v>
      </c>
      <c r="F27" s="5">
        <v>7920</v>
      </c>
      <c r="K27" s="6" t="s">
        <v>11</v>
      </c>
      <c r="L27" s="20">
        <f t="shared" si="4"/>
        <v>26840</v>
      </c>
      <c r="M27" s="20">
        <f t="shared" si="3"/>
        <v>0</v>
      </c>
      <c r="N27" s="20">
        <f t="shared" si="3"/>
        <v>15840</v>
      </c>
    </row>
    <row r="28" spans="1:15" x14ac:dyDescent="0.25">
      <c r="A28" s="1">
        <v>24</v>
      </c>
      <c r="B28" s="3">
        <v>41183</v>
      </c>
      <c r="C28" s="3" t="str">
        <f t="shared" si="0"/>
        <v>2012</v>
      </c>
      <c r="D28" s="4" t="s">
        <v>9</v>
      </c>
      <c r="E28" s="4">
        <v>60</v>
      </c>
      <c r="F28" s="5">
        <v>13200</v>
      </c>
      <c r="K28" s="6" t="s">
        <v>12</v>
      </c>
      <c r="L28" s="20">
        <f t="shared" si="4"/>
        <v>19800</v>
      </c>
      <c r="M28" s="20">
        <f t="shared" si="3"/>
        <v>20900</v>
      </c>
      <c r="N28" s="20">
        <f t="shared" si="3"/>
        <v>11440</v>
      </c>
    </row>
    <row r="29" spans="1:15" x14ac:dyDescent="0.25">
      <c r="K29" s="6" t="s">
        <v>9</v>
      </c>
      <c r="L29" s="20">
        <f t="shared" si="4"/>
        <v>29040</v>
      </c>
      <c r="M29" s="20">
        <f t="shared" si="3"/>
        <v>33440</v>
      </c>
      <c r="N29" s="20">
        <f t="shared" si="3"/>
        <v>20240</v>
      </c>
    </row>
    <row r="30" spans="1:15" x14ac:dyDescent="0.25">
      <c r="K30" s="8" t="s">
        <v>33</v>
      </c>
      <c r="L30" s="21">
        <f>SUM(L25:L29)</f>
        <v>104720</v>
      </c>
      <c r="M30" s="21">
        <f>SUM(M25:M29)</f>
        <v>83600</v>
      </c>
      <c r="N30" s="21">
        <f>SUM(N25:N29)</f>
        <v>80960</v>
      </c>
    </row>
    <row r="31" spans="1:15" x14ac:dyDescent="0.25">
      <c r="K31" s="8" t="s">
        <v>34</v>
      </c>
      <c r="L31" s="25">
        <f>SUM(L30:N30)</f>
        <v>269280</v>
      </c>
      <c r="M31" s="26"/>
      <c r="N31" s="27"/>
    </row>
    <row r="33" spans="11:14" x14ac:dyDescent="0.25">
      <c r="K33" s="10"/>
      <c r="L33" s="10" t="s">
        <v>16</v>
      </c>
      <c r="M33" s="10" t="s">
        <v>17</v>
      </c>
    </row>
    <row r="34" spans="11:14" x14ac:dyDescent="0.25">
      <c r="K34" s="23" t="s">
        <v>18</v>
      </c>
      <c r="L34" s="6" t="s">
        <v>10</v>
      </c>
      <c r="M34" s="22">
        <f>COUNTIF($D$5:$D$28,L34)</f>
        <v>6</v>
      </c>
    </row>
    <row r="35" spans="11:14" x14ac:dyDescent="0.25">
      <c r="K35" s="23"/>
      <c r="L35" s="6" t="s">
        <v>8</v>
      </c>
      <c r="M35" s="22">
        <f t="shared" ref="M35:M38" si="5">COUNTIF($D$5:$D$28,L35)</f>
        <v>3</v>
      </c>
    </row>
    <row r="36" spans="11:14" x14ac:dyDescent="0.25">
      <c r="K36" s="23"/>
      <c r="L36" s="6" t="s">
        <v>11</v>
      </c>
      <c r="M36" s="22">
        <f t="shared" si="5"/>
        <v>5</v>
      </c>
    </row>
    <row r="37" spans="11:14" x14ac:dyDescent="0.25">
      <c r="K37" s="23"/>
      <c r="L37" s="6" t="s">
        <v>12</v>
      </c>
      <c r="M37" s="22">
        <f t="shared" si="5"/>
        <v>3</v>
      </c>
    </row>
    <row r="38" spans="11:14" x14ac:dyDescent="0.25">
      <c r="K38" s="23"/>
      <c r="L38" s="6" t="s">
        <v>9</v>
      </c>
      <c r="M38" s="22">
        <f t="shared" si="5"/>
        <v>7</v>
      </c>
    </row>
    <row r="40" spans="11:14" x14ac:dyDescent="0.25">
      <c r="K40" s="10"/>
      <c r="L40" s="10" t="s">
        <v>16</v>
      </c>
      <c r="M40" s="10" t="s">
        <v>17</v>
      </c>
      <c r="N40" s="10" t="s">
        <v>20</v>
      </c>
    </row>
    <row r="41" spans="11:14" x14ac:dyDescent="0.25">
      <c r="K41" s="23" t="s">
        <v>27</v>
      </c>
      <c r="L41" s="6" t="s">
        <v>10</v>
      </c>
      <c r="M41" s="6">
        <f>SUMIF($D$5:$D$28,$L41,$E$5:$E$28)</f>
        <v>277</v>
      </c>
      <c r="N41" s="17">
        <f>SUMIF($D$5:$D$28,$L41,$F$5:$F$28)</f>
        <v>60940</v>
      </c>
    </row>
    <row r="42" spans="11:14" x14ac:dyDescent="0.25">
      <c r="K42" s="23"/>
      <c r="L42" s="6" t="s">
        <v>8</v>
      </c>
      <c r="M42" s="6">
        <f t="shared" ref="M42:M45" si="6">SUMIF($D$5:$D$28,$L42,$E$5:$E$28)</f>
        <v>140</v>
      </c>
      <c r="N42" s="17">
        <f t="shared" ref="N42:N45" si="7">SUMIF($D$5:$D$28,$L42,$F$5:$F$28)</f>
        <v>30800</v>
      </c>
    </row>
    <row r="43" spans="11:14" x14ac:dyDescent="0.25">
      <c r="K43" s="23"/>
      <c r="L43" s="6" t="s">
        <v>11</v>
      </c>
      <c r="M43" s="6">
        <f t="shared" si="6"/>
        <v>194</v>
      </c>
      <c r="N43" s="17">
        <f t="shared" si="7"/>
        <v>42680</v>
      </c>
    </row>
    <row r="44" spans="11:14" x14ac:dyDescent="0.25">
      <c r="K44" s="23"/>
      <c r="L44" s="6" t="s">
        <v>12</v>
      </c>
      <c r="M44" s="6">
        <f t="shared" si="6"/>
        <v>237</v>
      </c>
      <c r="N44" s="17">
        <f t="shared" si="7"/>
        <v>52140</v>
      </c>
    </row>
    <row r="45" spans="11:14" x14ac:dyDescent="0.25">
      <c r="K45" s="23"/>
      <c r="L45" s="6" t="s">
        <v>9</v>
      </c>
      <c r="M45" s="6">
        <f t="shared" si="6"/>
        <v>376</v>
      </c>
      <c r="N45" s="17">
        <f t="shared" si="7"/>
        <v>82720</v>
      </c>
    </row>
    <row r="46" spans="11:14" x14ac:dyDescent="0.25">
      <c r="N46" s="18"/>
    </row>
  </sheetData>
  <mergeCells count="11">
    <mergeCell ref="K41:K45"/>
    <mergeCell ref="L21:N21"/>
    <mergeCell ref="L31:N31"/>
    <mergeCell ref="K34:K38"/>
    <mergeCell ref="A1:J2"/>
    <mergeCell ref="A3:J3"/>
    <mergeCell ref="K4:M4"/>
    <mergeCell ref="L13:N13"/>
    <mergeCell ref="K1:S2"/>
    <mergeCell ref="K3:S3"/>
    <mergeCell ref="L23:N23"/>
  </mergeCells>
  <conditionalFormatting sqref="L34:M38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{972B11B3-8A7F-4CF7-90F5-FB91ACD6FFE7}</x14:id>
        </ext>
      </extLst>
    </cfRule>
  </conditionalFormatting>
  <conditionalFormatting sqref="F5:F28">
    <cfRule type="cellIs" dxfId="1" priority="2" operator="greaterThan">
      <formula>15000</formula>
    </cfRule>
    <cfRule type="cellIs" dxfId="0" priority="1" operator="lessThan">
      <formula>6000</formula>
    </cfRule>
  </conditionalFormatting>
  <pageMargins left="0.25" right="0.25" top="0.75" bottom="0.75" header="0.3" footer="0.3"/>
  <pageSetup paperSize="9" orientation="portrait" horizontalDpi="4294967293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72B11B3-8A7F-4CF7-90F5-FB91ACD6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L34:M38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Yearly Sales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 easynett</dc:creator>
  <cp:lastModifiedBy>Sir easynett</cp:lastModifiedBy>
  <dcterms:created xsi:type="dcterms:W3CDTF">2026-04-27T16:13:18Z</dcterms:created>
  <dcterms:modified xsi:type="dcterms:W3CDTF">2026-05-10T18:39:22Z</dcterms:modified>
</cp:coreProperties>
</file>